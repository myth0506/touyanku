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029"/>
  <workbookPr filterPrivacy="1" defaultThemeVersion="124226"/>
  <xr:revisionPtr revIDLastSave="0" documentId="8_{CBF99C60-2767-41C9-9EFC-ACC8760F3C3C}" xr6:coauthVersionLast="45" xr6:coauthVersionMax="45" xr10:uidLastSave="{00000000-0000-0000-0000-000000000000}"/>
  <bookViews>
    <workbookView xWindow="-98" yWindow="-98" windowWidth="22695" windowHeight="14595" xr2:uid="{00000000-000D-0000-FFFF-FFFF00000000}"/>
  </bookViews>
  <sheets>
    <sheet name="Metrics" sheetId="6" r:id="rId1"/>
  </sheets>
  <definedNames>
    <definedName name="_xlnm.Print_Area" localSheetId="0">Metrics!$A$1:$J$28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31" i="6" l="1"/>
</calcChain>
</file>

<file path=xl/sharedStrings.xml><?xml version="1.0" encoding="utf-8"?>
<sst xmlns="http://schemas.openxmlformats.org/spreadsheetml/2006/main" count="83" uniqueCount="83">
  <si>
    <t>Commercial (Includes commercial portion of LinkedIn)</t>
  </si>
  <si>
    <r>
      <t xml:space="preserve">Windows OEM Pro revenue growth </t>
    </r>
    <r>
      <rPr>
        <b/>
        <i/>
        <sz val="10"/>
        <color indexed="8"/>
        <rFont val="Segoe UI"/>
        <family val="2"/>
      </rPr>
      <t>(y/y)</t>
    </r>
  </si>
  <si>
    <r>
      <t xml:space="preserve">Windows OEM non-Pro revenue growth </t>
    </r>
    <r>
      <rPr>
        <b/>
        <i/>
        <sz val="10"/>
        <color indexed="8"/>
        <rFont val="Segoe UI"/>
        <family val="2"/>
      </rPr>
      <t>(y/y)</t>
    </r>
  </si>
  <si>
    <t>Investor Metrics</t>
  </si>
  <si>
    <r>
      <t xml:space="preserve">Commercial bookings growth </t>
    </r>
    <r>
      <rPr>
        <b/>
        <i/>
        <sz val="10"/>
        <color indexed="8"/>
        <rFont val="Segoe UI"/>
        <family val="2"/>
      </rPr>
      <t>(y/y)*</t>
    </r>
  </si>
  <si>
    <t>Commercial remaining performance obligation (in billions)</t>
  </si>
  <si>
    <r>
      <t xml:space="preserve">Office 365 Commercial seat growth </t>
    </r>
    <r>
      <rPr>
        <b/>
        <i/>
        <sz val="10"/>
        <color indexed="8"/>
        <rFont val="Segoe UI"/>
        <family val="2"/>
      </rPr>
      <t>(y/y)</t>
    </r>
  </si>
  <si>
    <t>Office 365 Consumer subscribers</t>
  </si>
  <si>
    <t>Surface revenue</t>
  </si>
  <si>
    <r>
      <t xml:space="preserve">Search advertising revenue (ex TAC) growth </t>
    </r>
    <r>
      <rPr>
        <b/>
        <i/>
        <sz val="10"/>
        <color indexed="8"/>
        <rFont val="Segoe UI"/>
        <family val="2"/>
      </rPr>
      <t>(y/y)*</t>
    </r>
  </si>
  <si>
    <t>More Personal Computing</t>
  </si>
  <si>
    <r>
      <t xml:space="preserve">Office Consumer products and cloud services revenue growth </t>
    </r>
    <r>
      <rPr>
        <b/>
        <i/>
        <sz val="10"/>
        <color indexed="8"/>
        <rFont val="Segoe UI"/>
        <family val="2"/>
      </rPr>
      <t>(y/y)*</t>
    </r>
  </si>
  <si>
    <r>
      <t xml:space="preserve">Dynamics products and cloud services revenue growth </t>
    </r>
    <r>
      <rPr>
        <b/>
        <i/>
        <sz val="10"/>
        <color indexed="8"/>
        <rFont val="Segoe UI"/>
        <family val="2"/>
      </rPr>
      <t>(y/y)*</t>
    </r>
  </si>
  <si>
    <r>
      <t xml:space="preserve">Server products and cloud services revenue growth </t>
    </r>
    <r>
      <rPr>
        <b/>
        <i/>
        <sz val="10"/>
        <color indexed="8"/>
        <rFont val="Segoe UI"/>
        <family val="2"/>
      </rPr>
      <t>(y/y)*</t>
    </r>
  </si>
  <si>
    <r>
      <t xml:space="preserve">Enterprise Services revenue growth </t>
    </r>
    <r>
      <rPr>
        <b/>
        <i/>
        <sz val="10"/>
        <color indexed="8"/>
        <rFont val="Segoe UI"/>
        <family val="2"/>
      </rPr>
      <t>(y/y)*</t>
    </r>
  </si>
  <si>
    <t>Q1'20</t>
  </si>
  <si>
    <t>Q2'20</t>
  </si>
  <si>
    <t>Q3'20</t>
  </si>
  <si>
    <t>Q4'20</t>
  </si>
  <si>
    <t>FY20</t>
  </si>
  <si>
    <t>Q4'19</t>
  </si>
  <si>
    <t>FY19</t>
  </si>
  <si>
    <t>(in millions, except for percentages and where otherwise noted)</t>
  </si>
  <si>
    <r>
      <t xml:space="preserve">Office Commercial products and cloud services revenue growth </t>
    </r>
    <r>
      <rPr>
        <b/>
        <i/>
        <sz val="10"/>
        <color indexed="8"/>
        <rFont val="Segoe UI"/>
        <family val="2"/>
      </rPr>
      <t>(y/y)*</t>
    </r>
  </si>
  <si>
    <t>Commercial cloud gross margin percentage</t>
  </si>
  <si>
    <r>
      <t xml:space="preserve">Windows Commercial products and cloud services revenue growth </t>
    </r>
    <r>
      <rPr>
        <b/>
        <i/>
        <sz val="10"/>
        <color indexed="8"/>
        <rFont val="Segoe UI"/>
        <family val="2"/>
      </rPr>
      <t>(y/y)*</t>
    </r>
  </si>
  <si>
    <t>Productivity &amp; Business Processes and Intelligent Cloud</t>
  </si>
  <si>
    <t>Commercial cloud revenue (in billions)</t>
  </si>
  <si>
    <t>Commercial revenue annuity mix</t>
  </si>
  <si>
    <r>
      <t xml:space="preserve">LinkedIn revenue growth </t>
    </r>
    <r>
      <rPr>
        <b/>
        <i/>
        <sz val="10"/>
        <color indexed="8"/>
        <rFont val="Segoe UI"/>
        <family val="2"/>
      </rPr>
      <t>(y/y)*</t>
    </r>
  </si>
  <si>
    <t>Xbox content and services revenue growth (y/y)*</t>
  </si>
  <si>
    <t>22% / 25%</t>
  </si>
  <si>
    <t>30% / 35%</t>
  </si>
  <si>
    <t>31% / 30%</t>
  </si>
  <si>
    <t>7% / 12%</t>
  </si>
  <si>
    <t>12% / 12%</t>
  </si>
  <si>
    <t>14% / 16%</t>
  </si>
  <si>
    <t>13% / 15%</t>
  </si>
  <si>
    <t>16% /18%</t>
  </si>
  <si>
    <t>13% / 15%</t>
  </si>
  <si>
    <t>5% / 7%</t>
  </si>
  <si>
    <t>6% / 8%</t>
  </si>
  <si>
    <t>5% / 6%</t>
  </si>
  <si>
    <t>19% / 20%</t>
  </si>
  <si>
    <t>15% / 17%</t>
  </si>
  <si>
    <t>6% / 7%</t>
  </si>
  <si>
    <t>12% / 15%</t>
  </si>
  <si>
    <t>14% / 16%</t>
  </si>
  <si>
    <t>12% / 15%</t>
  </si>
  <si>
    <t>17% / 20%</t>
  </si>
  <si>
    <t>13% / 15%</t>
  </si>
  <si>
    <t>25% / 28%</t>
  </si>
  <si>
    <t>25% / 26%</t>
  </si>
  <si>
    <t>24% / 26%</t>
  </si>
  <si>
    <t>21% / 22%</t>
  </si>
  <si>
    <t>10% / 11%</t>
  </si>
  <si>
    <t>22% / 24%</t>
  </si>
  <si>
    <t>30% / 33%</t>
  </si>
  <si>
    <t>30% / 32%</t>
  </si>
  <si>
    <t>30% / 32%</t>
  </si>
  <si>
    <t>19% / 21%</t>
  </si>
  <si>
    <t>4% / 6%</t>
  </si>
  <si>
    <t>7% / 8%</t>
  </si>
  <si>
    <t>6% / 7%</t>
  </si>
  <si>
    <t>6% / 7%</t>
  </si>
  <si>
    <t>0% / 2%</t>
  </si>
  <si>
    <t>13% / 16%</t>
  </si>
  <si>
    <t>26% / 29%</t>
  </si>
  <si>
    <t>25% / 27%</t>
  </si>
  <si>
    <t>17% / 18%</t>
  </si>
  <si>
    <t>9% / 11%</t>
  </si>
  <si>
    <t>-3% / -1%</t>
  </si>
  <si>
    <t>0% / 1%</t>
  </si>
  <si>
    <t>-11% / -9%</t>
  </si>
  <si>
    <t>2% / 2%</t>
  </si>
  <si>
    <t>65% / 68%</t>
  </si>
  <si>
    <t>9% / 10%</t>
  </si>
  <si>
    <t>11% / 13%</t>
  </si>
  <si>
    <t>6% / 7%</t>
  </si>
  <si>
    <t>1% / 1%</t>
  </si>
  <si>
    <t>-18% / -17%</t>
  </si>
  <si>
    <t>* Includes non-GAAP constant currency growth (GAAP% / Constant Currency%)</t>
  </si>
  <si>
    <t>Certain amounts have been rounded for presentation purposes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</si>
</sst>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0.0"/>
    <numFmt numFmtId="166" formatCode="&quot;$&quot;#,##0.0_);\(&quot;$&quot;#,##0.0\)"/>
  </numFmts>
  <fonts count="1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4"/>
      <color indexed="8"/>
      <name val="Segoe UI"/>
      <family val="2"/>
    </font>
    <font>
      <sz val="10"/>
      <color indexed="8"/>
      <name val="Segoe UI"/>
      <family val="2"/>
    </font>
    <font>
      <sz val="10"/>
      <name val="Segoe UI"/>
      <family val="2"/>
    </font>
    <font>
      <b/>
      <i/>
      <sz val="10"/>
      <color indexed="8"/>
      <name val="Segoe UI"/>
      <family val="2"/>
    </font>
    <font>
      <b/>
      <sz val="10"/>
      <name val="Segoe UI"/>
      <family val="2"/>
    </font>
    <font>
      <b/>
      <sz val="10"/>
      <color indexed="8"/>
      <name val="Segoe UI"/>
      <family val="2"/>
    </font>
    <font>
      <b/>
      <sz val="12"/>
      <color indexed="8"/>
      <name val="Segoe UI"/>
      <family val="2"/>
    </font>
    <font>
      <i/>
      <sz val="10"/>
      <color indexed="8"/>
      <name val="Segoe UI"/>
      <family val="2"/>
    </font>
    <font>
      <sz val="9"/>
      <name val="Calibri"/>
      <family val="3"/>
      <charset val="134"/>
      <scheme val="minor"/>
    </font>
    <font>
      <b/>
      <sz val="12"/>
      <name val="Segoe UI"/>
      <family val="2"/>
    </font>
    <font>
      <u/>
      <sz val="11"/>
      <color rgb="FF0078D7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80808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73">
    <xf numFmtId="0" fontId="0" fillId="0" borderId="0" xfId="0"/>
    <xf numFmtId="0" fontId="3" fillId="0" borderId="7" xfId="0" applyFont="1" applyBorder="1" applyAlignment="1"/>
    <xf numFmtId="0" fontId="4" fillId="3" borderId="0" xfId="0" applyFont="1" applyFill="1"/>
    <xf numFmtId="0" fontId="4" fillId="0" borderId="0" xfId="0" applyFont="1"/>
    <xf numFmtId="0" fontId="4" fillId="0" borderId="0" xfId="0" applyFont="1" applyFill="1"/>
    <xf numFmtId="0" fontId="5" fillId="0" borderId="0" xfId="0" applyFont="1"/>
    <xf numFmtId="0" fontId="6" fillId="0" borderId="8" xfId="0" applyFont="1" applyBorder="1"/>
    <xf numFmtId="0" fontId="4" fillId="0" borderId="4" xfId="0" applyFont="1" applyBorder="1"/>
    <xf numFmtId="0" fontId="7" fillId="0" borderId="3" xfId="0" applyFont="1" applyFill="1" applyBorder="1" applyAlignment="1">
      <alignment horizontal="center"/>
    </xf>
    <xf numFmtId="0" fontId="8" fillId="0" borderId="5" xfId="0" applyFont="1" applyBorder="1" applyAlignment="1"/>
    <xf numFmtId="0" fontId="4" fillId="0" borderId="0" xfId="0" applyFont="1" applyBorder="1"/>
    <xf numFmtId="0" fontId="7" fillId="0" borderId="2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9" fillId="0" borderId="5" xfId="0" applyFont="1" applyBorder="1" applyAlignment="1"/>
    <xf numFmtId="0" fontId="4" fillId="0" borderId="5" xfId="0" applyFont="1" applyBorder="1"/>
    <xf numFmtId="0" fontId="8" fillId="0" borderId="0" xfId="0" applyFont="1" applyBorder="1"/>
    <xf numFmtId="164" fontId="4" fillId="0" borderId="0" xfId="0" applyNumberFormat="1" applyFont="1"/>
    <xf numFmtId="0" fontId="10" fillId="0" borderId="0" xfId="0" applyFont="1"/>
    <xf numFmtId="37" fontId="4" fillId="0" borderId="0" xfId="0" applyNumberFormat="1" applyFont="1"/>
    <xf numFmtId="0" fontId="7" fillId="4" borderId="2" xfId="0" applyFont="1" applyFill="1" applyBorder="1" applyAlignment="1">
      <alignment horizontal="center"/>
    </xf>
    <xf numFmtId="0" fontId="4" fillId="4" borderId="0" xfId="0" applyFont="1" applyFill="1"/>
    <xf numFmtId="0" fontId="4" fillId="0" borderId="0" xfId="0" applyFont="1" applyAlignment="1">
      <alignment wrapText="1"/>
    </xf>
    <xf numFmtId="0" fontId="4" fillId="0" borderId="0" xfId="0" applyFont="1" applyAlignment="1">
      <alignment vertical="top"/>
    </xf>
    <xf numFmtId="164" fontId="7" fillId="2" borderId="2" xfId="0" applyNumberFormat="1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9" fontId="7" fillId="0" borderId="2" xfId="0" applyNumberFormat="1" applyFont="1" applyFill="1" applyBorder="1" applyAlignment="1">
      <alignment horizontal="center"/>
    </xf>
    <xf numFmtId="164" fontId="7" fillId="0" borderId="2" xfId="0" applyNumberFormat="1" applyFont="1" applyFill="1" applyBorder="1" applyAlignment="1">
      <alignment horizontal="center"/>
    </xf>
    <xf numFmtId="9" fontId="7" fillId="2" borderId="2" xfId="0" applyNumberFormat="1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9" fontId="7" fillId="5" borderId="2" xfId="0" applyNumberFormat="1" applyFont="1" applyFill="1" applyBorder="1" applyAlignment="1">
      <alignment horizontal="center"/>
    </xf>
    <xf numFmtId="0" fontId="7" fillId="0" borderId="0" xfId="0" applyFont="1" applyFill="1" applyBorder="1"/>
    <xf numFmtId="0" fontId="12" fillId="0" borderId="5" xfId="0" applyFont="1" applyBorder="1" applyAlignment="1"/>
    <xf numFmtId="0" fontId="7" fillId="0" borderId="0" xfId="0" applyFont="1" applyFill="1" applyBorder="1" applyAlignment="1">
      <alignment horizontal="left"/>
    </xf>
    <xf numFmtId="164" fontId="7" fillId="5" borderId="2" xfId="0" applyNumberFormat="1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164" fontId="7" fillId="4" borderId="2" xfId="3" applyNumberFormat="1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8" fillId="0" borderId="0" xfId="0" applyFont="1" applyFill="1" applyBorder="1" applyAlignment="1"/>
    <xf numFmtId="9" fontId="7" fillId="4" borderId="2" xfId="0" applyNumberFormat="1" applyFont="1" applyFill="1" applyBorder="1" applyAlignment="1">
      <alignment horizontal="center"/>
    </xf>
    <xf numFmtId="9" fontId="7" fillId="0" borderId="2" xfId="4" applyNumberFormat="1" applyFont="1" applyFill="1" applyBorder="1" applyAlignment="1">
      <alignment horizontal="center"/>
    </xf>
    <xf numFmtId="9" fontId="7" fillId="4" borderId="2" xfId="3" applyNumberFormat="1" applyFont="1" applyFill="1" applyBorder="1" applyAlignment="1">
      <alignment horizontal="center"/>
    </xf>
    <xf numFmtId="9" fontId="7" fillId="2" borderId="2" xfId="1" applyNumberFormat="1" applyFont="1" applyFill="1" applyBorder="1" applyAlignment="1">
      <alignment horizontal="center"/>
    </xf>
    <xf numFmtId="0" fontId="8" fillId="0" borderId="6" xfId="0" applyFont="1" applyBorder="1" applyAlignment="1"/>
    <xf numFmtId="0" fontId="7" fillId="0" borderId="7" xfId="0" applyFont="1" applyFill="1" applyBorder="1"/>
    <xf numFmtId="9" fontId="7" fillId="2" borderId="1" xfId="0" applyNumberFormat="1" applyFont="1" applyFill="1" applyBorder="1" applyAlignment="1">
      <alignment horizontal="center"/>
    </xf>
    <xf numFmtId="49" fontId="7" fillId="5" borderId="2" xfId="0" applyNumberFormat="1" applyFont="1" applyFill="1" applyBorder="1" applyAlignment="1">
      <alignment horizontal="center"/>
    </xf>
    <xf numFmtId="49" fontId="7" fillId="5" borderId="1" xfId="0" applyNumberFormat="1" applyFont="1" applyFill="1" applyBorder="1" applyAlignment="1">
      <alignment horizontal="center"/>
    </xf>
    <xf numFmtId="165" fontId="7" fillId="5" borderId="2" xfId="0" applyNumberFormat="1" applyFont="1" applyFill="1" applyBorder="1" applyAlignment="1">
      <alignment horizontal="center"/>
    </xf>
    <xf numFmtId="165" fontId="7" fillId="2" borderId="2" xfId="0" applyNumberFormat="1" applyFont="1" applyFill="1" applyBorder="1" applyAlignment="1">
      <alignment horizontal="center"/>
    </xf>
    <xf numFmtId="165" fontId="7" fillId="0" borderId="2" xfId="4" applyNumberFormat="1" applyFont="1" applyFill="1" applyBorder="1" applyAlignment="1">
      <alignment horizontal="center"/>
    </xf>
    <xf numFmtId="165" fontId="7" fillId="4" borderId="2" xfId="3" applyNumberFormat="1" applyFont="1" applyFill="1" applyBorder="1" applyAlignment="1">
      <alignment horizontal="center"/>
    </xf>
    <xf numFmtId="49" fontId="7" fillId="0" borderId="2" xfId="0" applyNumberFormat="1" applyFont="1" applyFill="1" applyBorder="1" applyAlignment="1">
      <alignment horizontal="center"/>
    </xf>
    <xf numFmtId="49" fontId="7" fillId="4" borderId="2" xfId="0" applyNumberFormat="1" applyFont="1" applyFill="1" applyBorder="1" applyAlignment="1">
      <alignment horizontal="center"/>
    </xf>
    <xf numFmtId="11" fontId="7" fillId="4" borderId="2" xfId="0" applyNumberFormat="1" applyFont="1" applyFill="1" applyBorder="1" applyAlignment="1">
      <alignment horizontal="center"/>
    </xf>
    <xf numFmtId="49" fontId="7" fillId="0" borderId="2" xfId="1" applyNumberFormat="1" applyFont="1" applyFill="1" applyBorder="1" applyAlignment="1">
      <alignment horizontal="center"/>
    </xf>
    <xf numFmtId="49" fontId="7" fillId="4" borderId="2" xfId="1" applyNumberFormat="1" applyFont="1" applyFill="1" applyBorder="1" applyAlignment="1">
      <alignment horizontal="center"/>
    </xf>
    <xf numFmtId="49" fontId="7" fillId="0" borderId="1" xfId="0" applyNumberFormat="1" applyFont="1" applyFill="1" applyBorder="1" applyAlignment="1">
      <alignment horizontal="center"/>
    </xf>
    <xf numFmtId="49" fontId="7" fillId="4" borderId="1" xfId="3" applyNumberFormat="1" applyFont="1" applyFill="1" applyBorder="1" applyAlignment="1">
      <alignment horizontal="center"/>
    </xf>
    <xf numFmtId="0" fontId="8" fillId="0" borderId="5" xfId="0" applyFont="1" applyBorder="1" applyAlignment="1">
      <alignment wrapText="1"/>
    </xf>
    <xf numFmtId="0" fontId="7" fillId="0" borderId="0" xfId="0" applyFont="1" applyFill="1" applyBorder="1" applyAlignment="1">
      <alignment wrapText="1"/>
    </xf>
    <xf numFmtId="49" fontId="7" fillId="5" borderId="2" xfId="0" applyNumberFormat="1" applyFont="1" applyFill="1" applyBorder="1" applyAlignment="1">
      <alignment horizontal="center" wrapText="1"/>
    </xf>
    <xf numFmtId="9" fontId="7" fillId="2" borderId="2" xfId="0" applyNumberFormat="1" applyFont="1" applyFill="1" applyBorder="1" applyAlignment="1">
      <alignment horizontal="center" wrapText="1"/>
    </xf>
    <xf numFmtId="49" fontId="7" fillId="0" borderId="2" xfId="0" applyNumberFormat="1" applyFont="1" applyFill="1" applyBorder="1" applyAlignment="1">
      <alignment horizontal="center" wrapText="1"/>
    </xf>
    <xf numFmtId="49" fontId="7" fillId="4" borderId="2" xfId="0" applyNumberFormat="1" applyFont="1" applyFill="1" applyBorder="1" applyAlignment="1">
      <alignment horizontal="center" wrapText="1"/>
    </xf>
    <xf numFmtId="164" fontId="7" fillId="4" borderId="2" xfId="0" applyNumberFormat="1" applyFont="1" applyFill="1" applyBorder="1" applyAlignment="1">
      <alignment horizontal="center"/>
    </xf>
    <xf numFmtId="166" fontId="7" fillId="5" borderId="2" xfId="0" applyNumberFormat="1" applyFont="1" applyFill="1" applyBorder="1" applyAlignment="1">
      <alignment horizontal="center"/>
    </xf>
    <xf numFmtId="166" fontId="7" fillId="2" borderId="2" xfId="0" applyNumberFormat="1" applyFont="1" applyFill="1" applyBorder="1" applyAlignment="1">
      <alignment horizontal="center" wrapText="1"/>
    </xf>
    <xf numFmtId="166" fontId="7" fillId="0" borderId="2" xfId="0" applyNumberFormat="1" applyFont="1" applyFill="1" applyBorder="1" applyAlignment="1">
      <alignment horizontal="center"/>
    </xf>
    <xf numFmtId="0" fontId="4" fillId="0" borderId="0" xfId="0" applyFont="1" applyAlignment="1">
      <alignment vertical="top" wrapText="1"/>
    </xf>
    <xf numFmtId="0" fontId="13" fillId="0" borderId="0" xfId="0" applyFont="1"/>
    <xf numFmtId="0" fontId="4" fillId="0" borderId="0" xfId="0" applyFont="1" applyAlignment="1">
      <alignment horizontal="left" vertical="top" wrapText="1"/>
    </xf>
  </cellXfs>
  <cellStyles count="5">
    <cellStyle name="Comma" xfId="4" builtinId="3"/>
    <cellStyle name="Currency" xfId="3" builtinId="4"/>
    <cellStyle name="Normal" xfId="0" builtinId="0"/>
    <cellStyle name="Percent" xfId="1" builtinId="5"/>
    <cellStyle name="Percent 10" xfId="2" xr:uid="{00000000-0005-0000-0000-000004000000}"/>
  </cellStyles>
  <dxfs count="0"/>
  <tableStyles count="0" defaultTableStyle="TableStyleMedium9" defaultPivotStyle="PivotStyleLight16"/>
  <colors>
    <mruColors>
      <color rgb="FFC0C0C0"/>
      <color rgb="FF8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L40"/>
  <sheetViews>
    <sheetView showGridLines="0" tabSelected="1" zoomScaleNormal="100" workbookViewId="0">
      <selection activeCell="B1" sqref="B1"/>
    </sheetView>
  </sheetViews>
  <sheetFormatPr defaultColWidth="9.1328125" defaultRowHeight="12.75" customHeight="1"/>
  <cols>
    <col min="1" max="1" width="2.3984375" style="3" customWidth="1"/>
    <col min="2" max="2" width="3.3984375" style="3" customWidth="1"/>
    <col min="3" max="3" width="66.3984375" style="3" customWidth="1"/>
    <col min="4" max="4" width="12.3984375" style="4" bestFit="1" customWidth="1"/>
    <col min="5" max="5" width="12.3984375" style="3" customWidth="1"/>
    <col min="6" max="7" width="12.3984375" style="4" bestFit="1" customWidth="1"/>
    <col min="8" max="8" width="12.3984375" style="5" bestFit="1" customWidth="1"/>
    <col min="9" max="9" width="12.3984375" style="20" bestFit="1" customWidth="1"/>
    <col min="10" max="10" width="12.3984375" style="3" customWidth="1"/>
    <col min="11" max="16384" width="9.1328125" style="3"/>
  </cols>
  <sheetData>
    <row r="1" spans="2:12" ht="20.25">
      <c r="B1" s="1" t="s">
        <v>3</v>
      </c>
      <c r="C1" s="1"/>
      <c r="D1" s="2"/>
    </row>
    <row r="2" spans="2:12" ht="14.25" customHeight="1">
      <c r="B2" s="6" t="s">
        <v>22</v>
      </c>
      <c r="C2" s="7"/>
      <c r="D2" s="24" t="s">
        <v>20</v>
      </c>
      <c r="E2" s="38" t="s">
        <v>21</v>
      </c>
      <c r="F2" s="8" t="s">
        <v>15</v>
      </c>
      <c r="G2" s="8" t="s">
        <v>16</v>
      </c>
      <c r="H2" s="36" t="s">
        <v>17</v>
      </c>
      <c r="I2" s="24" t="s">
        <v>18</v>
      </c>
      <c r="J2" s="38" t="s">
        <v>19</v>
      </c>
    </row>
    <row r="3" spans="2:12" ht="6.75" customHeight="1">
      <c r="B3" s="9"/>
      <c r="C3" s="10"/>
      <c r="D3" s="25"/>
      <c r="E3" s="12"/>
      <c r="F3" s="11"/>
      <c r="G3" s="19"/>
      <c r="H3" s="19"/>
      <c r="I3" s="25"/>
      <c r="J3" s="12"/>
    </row>
    <row r="4" spans="2:12" ht="17.25" customHeight="1">
      <c r="B4" s="13" t="s">
        <v>0</v>
      </c>
      <c r="C4" s="10"/>
      <c r="D4" s="25"/>
      <c r="E4" s="12"/>
      <c r="F4" s="11"/>
      <c r="G4" s="19"/>
      <c r="H4" s="19"/>
      <c r="I4" s="25"/>
      <c r="J4" s="12"/>
    </row>
    <row r="5" spans="2:12" ht="15.4">
      <c r="B5" s="14"/>
      <c r="C5" s="15" t="s">
        <v>4</v>
      </c>
      <c r="D5" s="47" t="s">
        <v>31</v>
      </c>
      <c r="E5" s="29">
        <v>0.22</v>
      </c>
      <c r="F5" s="53" t="s">
        <v>32</v>
      </c>
      <c r="G5" s="53" t="s">
        <v>33</v>
      </c>
      <c r="H5" s="54" t="s">
        <v>34</v>
      </c>
      <c r="I5" s="47" t="s">
        <v>35</v>
      </c>
      <c r="J5" s="29">
        <v>0.17</v>
      </c>
    </row>
    <row r="6" spans="2:12" ht="15.4">
      <c r="B6" s="14"/>
      <c r="C6" s="15" t="s">
        <v>5</v>
      </c>
      <c r="D6" s="35">
        <v>87</v>
      </c>
      <c r="E6" s="23">
        <v>87</v>
      </c>
      <c r="F6" s="28">
        <v>86</v>
      </c>
      <c r="G6" s="28">
        <v>90</v>
      </c>
      <c r="H6" s="66">
        <v>89</v>
      </c>
      <c r="I6" s="35">
        <v>107</v>
      </c>
      <c r="J6" s="23">
        <v>107</v>
      </c>
    </row>
    <row r="7" spans="2:12" ht="15.4">
      <c r="B7" s="14"/>
      <c r="C7" s="15" t="s">
        <v>28</v>
      </c>
      <c r="D7" s="31">
        <v>0.9</v>
      </c>
      <c r="E7" s="29">
        <v>0.9</v>
      </c>
      <c r="F7" s="27">
        <v>0.91</v>
      </c>
      <c r="G7" s="27">
        <v>0.89</v>
      </c>
      <c r="H7" s="40">
        <v>0.92</v>
      </c>
      <c r="I7" s="31">
        <v>0.94</v>
      </c>
      <c r="J7" s="29">
        <v>0.91</v>
      </c>
    </row>
    <row r="8" spans="2:12" ht="15.4">
      <c r="B8" s="9"/>
      <c r="C8" s="15" t="s">
        <v>27</v>
      </c>
      <c r="D8" s="67">
        <v>11</v>
      </c>
      <c r="E8" s="68">
        <v>38.1</v>
      </c>
      <c r="F8" s="69">
        <v>11.6</v>
      </c>
      <c r="G8" s="69">
        <v>12.5</v>
      </c>
      <c r="H8" s="69">
        <v>13.3</v>
      </c>
      <c r="I8" s="67">
        <v>14.3</v>
      </c>
      <c r="J8" s="68">
        <v>51.7</v>
      </c>
    </row>
    <row r="9" spans="2:12" ht="15.4">
      <c r="B9" s="9"/>
      <c r="C9" s="15" t="s">
        <v>24</v>
      </c>
      <c r="D9" s="31">
        <v>0.65</v>
      </c>
      <c r="E9" s="63">
        <v>0.63</v>
      </c>
      <c r="F9" s="27">
        <v>0.66</v>
      </c>
      <c r="G9" s="27">
        <v>0.67</v>
      </c>
      <c r="H9" s="27">
        <v>0.67</v>
      </c>
      <c r="I9" s="31">
        <v>0.66</v>
      </c>
      <c r="J9" s="63">
        <v>0.67</v>
      </c>
    </row>
    <row r="10" spans="2:12" ht="5.25" customHeight="1">
      <c r="B10" s="9"/>
      <c r="C10" s="10"/>
      <c r="D10" s="30"/>
      <c r="E10" s="12"/>
      <c r="F10" s="26"/>
      <c r="G10" s="26"/>
      <c r="H10" s="19"/>
      <c r="I10" s="30"/>
      <c r="J10" s="12"/>
    </row>
    <row r="11" spans="2:12" ht="17.25" customHeight="1">
      <c r="B11" s="13" t="s">
        <v>26</v>
      </c>
      <c r="C11" s="10"/>
      <c r="D11" s="30"/>
      <c r="E11" s="12"/>
      <c r="F11" s="26"/>
      <c r="G11" s="19"/>
      <c r="H11" s="19"/>
      <c r="I11" s="30"/>
      <c r="J11" s="12"/>
    </row>
    <row r="12" spans="2:12" s="21" customFormat="1" ht="15.4">
      <c r="B12" s="60"/>
      <c r="C12" s="61" t="s">
        <v>23</v>
      </c>
      <c r="D12" s="62" t="s">
        <v>36</v>
      </c>
      <c r="E12" s="63">
        <v>0.13</v>
      </c>
      <c r="F12" s="64" t="s">
        <v>37</v>
      </c>
      <c r="G12" s="64" t="s">
        <v>38</v>
      </c>
      <c r="H12" s="65" t="s">
        <v>39</v>
      </c>
      <c r="I12" s="62" t="s">
        <v>40</v>
      </c>
      <c r="J12" s="63">
        <v>0.12</v>
      </c>
    </row>
    <row r="13" spans="2:12" ht="15.4">
      <c r="B13" s="9"/>
      <c r="C13" s="32" t="s">
        <v>11</v>
      </c>
      <c r="D13" s="47" t="s">
        <v>41</v>
      </c>
      <c r="E13" s="63">
        <v>7.0000000000000007E-2</v>
      </c>
      <c r="F13" s="53" t="s">
        <v>42</v>
      </c>
      <c r="G13" s="53" t="s">
        <v>43</v>
      </c>
      <c r="H13" s="55" t="s">
        <v>44</v>
      </c>
      <c r="I13" s="47" t="s">
        <v>45</v>
      </c>
      <c r="J13" s="29">
        <v>0.11</v>
      </c>
    </row>
    <row r="14" spans="2:12" ht="15.4">
      <c r="B14" s="9"/>
      <c r="C14" s="32" t="s">
        <v>6</v>
      </c>
      <c r="D14" s="31">
        <v>0.23</v>
      </c>
      <c r="E14" s="29">
        <v>0.23</v>
      </c>
      <c r="F14" s="41">
        <v>0.21</v>
      </c>
      <c r="G14" s="41">
        <v>0.21</v>
      </c>
      <c r="H14" s="42">
        <v>0.2</v>
      </c>
      <c r="I14" s="31">
        <v>0.15</v>
      </c>
      <c r="J14" s="29">
        <v>0.15</v>
      </c>
      <c r="K14" s="16"/>
      <c r="L14" s="16"/>
    </row>
    <row r="15" spans="2:12" ht="15.4">
      <c r="B15" s="9"/>
      <c r="C15" s="32" t="s">
        <v>7</v>
      </c>
      <c r="D15" s="49">
        <v>34.799999999999997</v>
      </c>
      <c r="E15" s="50">
        <v>34.799999999999997</v>
      </c>
      <c r="F15" s="51">
        <v>35.6</v>
      </c>
      <c r="G15" s="51">
        <v>37.200000000000003</v>
      </c>
      <c r="H15" s="52">
        <v>39.6</v>
      </c>
      <c r="I15" s="49">
        <v>42.7</v>
      </c>
      <c r="J15" s="50">
        <v>42.7</v>
      </c>
    </row>
    <row r="16" spans="2:12" ht="15.4">
      <c r="B16" s="9"/>
      <c r="C16" s="34" t="s">
        <v>12</v>
      </c>
      <c r="D16" s="47" t="s">
        <v>46</v>
      </c>
      <c r="E16" s="29">
        <v>0.15</v>
      </c>
      <c r="F16" s="53" t="s">
        <v>47</v>
      </c>
      <c r="G16" s="53" t="s">
        <v>48</v>
      </c>
      <c r="H16" s="54" t="s">
        <v>49</v>
      </c>
      <c r="I16" s="47" t="s">
        <v>50</v>
      </c>
      <c r="J16" s="29">
        <v>0.14000000000000001</v>
      </c>
    </row>
    <row r="17" spans="2:12" ht="15.4">
      <c r="B17" s="9"/>
      <c r="C17" s="34" t="s">
        <v>29</v>
      </c>
      <c r="D17" s="47" t="s">
        <v>51</v>
      </c>
      <c r="E17" s="29">
        <v>0.28000000000000003</v>
      </c>
      <c r="F17" s="53" t="s">
        <v>52</v>
      </c>
      <c r="G17" s="53" t="s">
        <v>53</v>
      </c>
      <c r="H17" s="54" t="s">
        <v>54</v>
      </c>
      <c r="I17" s="47" t="s">
        <v>55</v>
      </c>
      <c r="J17" s="29">
        <v>0.2</v>
      </c>
    </row>
    <row r="18" spans="2:12" ht="15.4">
      <c r="B18" s="9"/>
      <c r="C18" s="32" t="s">
        <v>13</v>
      </c>
      <c r="D18" s="47" t="s">
        <v>56</v>
      </c>
      <c r="E18" s="29">
        <v>0.25</v>
      </c>
      <c r="F18" s="56" t="s">
        <v>57</v>
      </c>
      <c r="G18" s="56" t="s">
        <v>58</v>
      </c>
      <c r="H18" s="57" t="s">
        <v>59</v>
      </c>
      <c r="I18" s="47" t="s">
        <v>60</v>
      </c>
      <c r="J18" s="43">
        <v>0.27</v>
      </c>
    </row>
    <row r="19" spans="2:12" ht="15.4">
      <c r="B19" s="9"/>
      <c r="C19" s="32" t="s">
        <v>14</v>
      </c>
      <c r="D19" s="47" t="s">
        <v>61</v>
      </c>
      <c r="E19" s="29">
        <v>0.05</v>
      </c>
      <c r="F19" s="56" t="s">
        <v>62</v>
      </c>
      <c r="G19" s="56" t="s">
        <v>63</v>
      </c>
      <c r="H19" s="57" t="s">
        <v>64</v>
      </c>
      <c r="I19" s="47" t="s">
        <v>65</v>
      </c>
      <c r="J19" s="43">
        <v>0.05</v>
      </c>
    </row>
    <row r="20" spans="2:12" ht="5.25" customHeight="1">
      <c r="B20" s="9"/>
      <c r="C20" s="10"/>
      <c r="D20" s="30"/>
      <c r="E20" s="12"/>
      <c r="F20" s="26"/>
      <c r="G20" s="26"/>
      <c r="H20" s="19"/>
      <c r="I20" s="30"/>
      <c r="J20" s="12"/>
    </row>
    <row r="21" spans="2:12" ht="18.75">
      <c r="B21" s="33" t="s">
        <v>10</v>
      </c>
      <c r="C21" s="10"/>
      <c r="D21" s="35"/>
      <c r="E21" s="23"/>
      <c r="F21" s="28"/>
      <c r="G21" s="28"/>
      <c r="H21" s="37"/>
      <c r="I21" s="35"/>
      <c r="J21" s="23"/>
      <c r="K21" s="16"/>
      <c r="L21" s="18"/>
    </row>
    <row r="22" spans="2:12" ht="15.4">
      <c r="B22" s="9"/>
      <c r="C22" s="32" t="s">
        <v>1</v>
      </c>
      <c r="D22" s="31">
        <v>0.18</v>
      </c>
      <c r="E22" s="29">
        <v>0.1</v>
      </c>
      <c r="F22" s="41">
        <v>0.19</v>
      </c>
      <c r="G22" s="41">
        <v>0.26</v>
      </c>
      <c r="H22" s="42">
        <v>0.05</v>
      </c>
      <c r="I22" s="31">
        <v>-0.04</v>
      </c>
      <c r="J22" s="29">
        <v>0.11</v>
      </c>
      <c r="K22" s="16"/>
      <c r="L22" s="18"/>
    </row>
    <row r="23" spans="2:12" ht="15" customHeight="1">
      <c r="B23" s="9"/>
      <c r="C23" s="32" t="s">
        <v>2</v>
      </c>
      <c r="D23" s="31">
        <v>-0.08</v>
      </c>
      <c r="E23" s="29">
        <v>-7.0000000000000007E-2</v>
      </c>
      <c r="F23" s="41">
        <v>-7.0000000000000007E-2</v>
      </c>
      <c r="G23" s="41">
        <v>0.04</v>
      </c>
      <c r="H23" s="42">
        <v>-0.1</v>
      </c>
      <c r="I23" s="31">
        <v>0.34</v>
      </c>
      <c r="J23" s="29">
        <v>0.05</v>
      </c>
      <c r="K23" s="16"/>
      <c r="L23" s="18"/>
    </row>
    <row r="24" spans="2:12" ht="15" customHeight="1">
      <c r="B24" s="9"/>
      <c r="C24" s="32" t="s">
        <v>25</v>
      </c>
      <c r="D24" s="31" t="s">
        <v>66</v>
      </c>
      <c r="E24" s="29">
        <v>0.14000000000000001</v>
      </c>
      <c r="F24" s="41" t="s">
        <v>67</v>
      </c>
      <c r="G24" s="41" t="s">
        <v>68</v>
      </c>
      <c r="H24" s="42" t="s">
        <v>69</v>
      </c>
      <c r="I24" s="31" t="s">
        <v>70</v>
      </c>
      <c r="J24" s="29">
        <v>0.18</v>
      </c>
      <c r="K24" s="16"/>
      <c r="L24" s="18"/>
    </row>
    <row r="25" spans="2:12" ht="15.4">
      <c r="B25" s="9"/>
      <c r="C25" s="32" t="s">
        <v>8</v>
      </c>
      <c r="D25" s="35">
        <v>1350</v>
      </c>
      <c r="E25" s="23">
        <v>5719</v>
      </c>
      <c r="F25" s="28">
        <v>1136</v>
      </c>
      <c r="G25" s="28">
        <v>1976</v>
      </c>
      <c r="H25" s="66">
        <v>1340</v>
      </c>
      <c r="I25" s="35">
        <v>1724</v>
      </c>
      <c r="J25" s="23">
        <v>6176</v>
      </c>
      <c r="K25" s="16"/>
      <c r="L25" s="18"/>
    </row>
    <row r="26" spans="2:12" ht="15.4">
      <c r="B26" s="9"/>
      <c r="C26" s="39" t="s">
        <v>30</v>
      </c>
      <c r="D26" s="31" t="s">
        <v>71</v>
      </c>
      <c r="E26" s="29">
        <v>0.19</v>
      </c>
      <c r="F26" s="27" t="s">
        <v>72</v>
      </c>
      <c r="G26" s="27" t="s">
        <v>73</v>
      </c>
      <c r="H26" s="40" t="s">
        <v>74</v>
      </c>
      <c r="I26" s="31" t="s">
        <v>75</v>
      </c>
      <c r="J26" s="29">
        <v>0.11</v>
      </c>
      <c r="K26" s="16"/>
      <c r="L26" s="18"/>
    </row>
    <row r="27" spans="2:12" ht="15.4">
      <c r="B27" s="44"/>
      <c r="C27" s="45" t="s">
        <v>9</v>
      </c>
      <c r="D27" s="48" t="s">
        <v>76</v>
      </c>
      <c r="E27" s="46">
        <v>0.13</v>
      </c>
      <c r="F27" s="58" t="s">
        <v>77</v>
      </c>
      <c r="G27" s="58" t="s">
        <v>78</v>
      </c>
      <c r="H27" s="59" t="s">
        <v>79</v>
      </c>
      <c r="I27" s="48" t="s">
        <v>80</v>
      </c>
      <c r="J27" s="46">
        <v>0</v>
      </c>
      <c r="K27" s="16"/>
      <c r="L27" s="18"/>
    </row>
    <row r="28" spans="2:12" ht="10.5" customHeight="1">
      <c r="B28" s="17"/>
    </row>
    <row r="29" spans="2:12" ht="15.4">
      <c r="B29" s="17"/>
      <c r="C29" s="70" t="s">
        <v>81</v>
      </c>
      <c r="D29" s="70"/>
      <c r="E29" s="70"/>
      <c r="F29" s="70"/>
      <c r="G29" s="70"/>
      <c r="H29" s="70"/>
      <c r="I29" s="70"/>
      <c r="J29" s="70"/>
      <c r="K29" s="21"/>
    </row>
    <row r="30" spans="2:12" ht="15.4">
      <c r="C30" s="70" t="s">
        <v>82</v>
      </c>
      <c r="D30" s="70"/>
      <c r="E30" s="70"/>
      <c r="F30" s="70"/>
      <c r="G30" s="70"/>
      <c r="H30" s="70"/>
      <c r="I30" s="70"/>
      <c r="J30" s="70"/>
    </row>
    <row r="31" spans="2:12" s="22" customFormat="1" ht="15.4">
      <c r="C31" s="71" t="str">
        <f>HYPERLINK("http://aka.ms/slidesfy20q4","Reconciliation of GAAP and non-GAAP financial measures are available in the Earnings Release Slides (http://aka.ms/slidesfy20q4)")</f>
        <v>Reconciliation of GAAP and non-GAAP financial measures are available in the Earnings Release Slides (http://aka.ms/slidesfy20q4)</v>
      </c>
      <c r="D31" s="70"/>
      <c r="E31" s="70"/>
      <c r="F31" s="70"/>
      <c r="G31" s="70"/>
      <c r="H31" s="70"/>
      <c r="I31" s="70"/>
      <c r="J31" s="70"/>
    </row>
    <row r="32" spans="2:12" ht="15.4">
      <c r="C32" s="70"/>
      <c r="D32" s="70"/>
      <c r="E32" s="70"/>
      <c r="F32" s="70"/>
      <c r="G32" s="70"/>
      <c r="H32" s="70"/>
      <c r="I32" s="70"/>
      <c r="J32" s="70"/>
    </row>
    <row r="33" spans="3:10" ht="15.4">
      <c r="C33" s="70"/>
      <c r="D33" s="70"/>
      <c r="E33" s="70"/>
      <c r="F33" s="70"/>
      <c r="G33" s="70"/>
      <c r="H33" s="70"/>
      <c r="I33" s="70"/>
      <c r="J33" s="70"/>
    </row>
    <row r="34" spans="3:10" ht="15.4">
      <c r="C34" s="70"/>
      <c r="D34" s="70"/>
      <c r="E34" s="70"/>
      <c r="F34" s="70"/>
      <c r="G34" s="70"/>
      <c r="H34" s="70"/>
      <c r="I34" s="70"/>
      <c r="J34" s="70"/>
    </row>
    <row r="35" spans="3:10" ht="15.4">
      <c r="C35" s="70"/>
      <c r="D35" s="70"/>
      <c r="E35" s="70"/>
      <c r="F35" s="70"/>
      <c r="G35" s="70"/>
      <c r="H35" s="70"/>
      <c r="I35" s="70"/>
      <c r="J35" s="70"/>
    </row>
    <row r="36" spans="3:10" ht="15.4">
      <c r="C36" s="70"/>
      <c r="D36" s="70"/>
      <c r="E36" s="70"/>
      <c r="F36" s="70"/>
      <c r="G36" s="70"/>
      <c r="H36" s="70"/>
      <c r="I36" s="70"/>
      <c r="J36" s="70"/>
    </row>
    <row r="37" spans="3:10" ht="15.4">
      <c r="C37" s="70"/>
      <c r="D37" s="70"/>
      <c r="E37" s="70"/>
      <c r="F37" s="70"/>
      <c r="G37" s="70"/>
      <c r="H37" s="70"/>
      <c r="I37" s="70"/>
      <c r="J37" s="70"/>
    </row>
    <row r="38" spans="3:10" ht="15.4">
      <c r="C38" s="72"/>
      <c r="D38" s="72"/>
      <c r="E38" s="72"/>
      <c r="F38" s="72"/>
      <c r="G38" s="72"/>
      <c r="H38" s="72"/>
      <c r="I38" s="72"/>
    </row>
    <row r="39" spans="3:10" ht="15.4">
      <c r="C39" s="72"/>
      <c r="D39" s="72"/>
      <c r="E39" s="72"/>
      <c r="F39" s="72"/>
      <c r="G39" s="72"/>
      <c r="H39" s="72"/>
      <c r="I39" s="72"/>
    </row>
    <row r="40" spans="3:10" ht="15.4"/>
  </sheetData>
  <mergeCells count="11">
    <mergeCell ref="C39:I39"/>
    <mergeCell ref="C38:I38"/>
    <mergeCell ref="C34:J34"/>
    <mergeCell ref="C35:J35"/>
    <mergeCell ref="C36:J36"/>
    <mergeCell ref="C37:J37"/>
    <mergeCell ref="C29:J29"/>
    <mergeCell ref="C30:J30"/>
    <mergeCell ref="C31:J31"/>
    <mergeCell ref="C32:J32"/>
    <mergeCell ref="C33:J33"/>
  </mergeCells>
  <phoneticPr fontId="11" type="noConversion"/>
  <pageMargins left="0.5" right="0.2" top="0.5" bottom="0.4" header="0.3" footer="0.3"/>
  <pageSetup scale="6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ab57c824-c9de-479b-bcdb-0dee5f96ee5c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137D4CCA6A594CBC97E73855997C78" ma:contentTypeVersion="8" ma:contentTypeDescription="Create a new document." ma:contentTypeScope="" ma:versionID="ec38a070a349cd25a314bd209e149148">
  <xsd:schema xmlns:xsd="http://www.w3.org/2001/XMLSchema" xmlns:xs="http://www.w3.org/2001/XMLSchema" xmlns:p="http://schemas.microsoft.com/office/2006/metadata/properties" xmlns:ns2="ab57c824-c9de-479b-bcdb-0dee5f96ee5c" xmlns:ns3="484bf416-efd1-4417-8d18-473a2831c129" targetNamespace="http://schemas.microsoft.com/office/2006/metadata/properties" ma:root="true" ma:fieldsID="89a7d0038e4e7271064ddb933b0ed254" ns2:_="" ns3:_="">
    <xsd:import namespace="ab57c824-c9de-479b-bcdb-0dee5f96ee5c"/>
    <xsd:import namespace="484bf416-efd1-4417-8d18-473a2831c12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57c824-c9de-479b-bcdb-0dee5f96ee5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0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1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4bf416-efd1-4417-8d18-473a2831c1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description="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BA7978F-DB6C-454D-A699-655030580798}">
  <ds:schemaRefs>
    <ds:schemaRef ds:uri="http://schemas.microsoft.com/office/2006/metadata/properties"/>
    <ds:schemaRef ds:uri="http://schemas.microsoft.com/office/infopath/2007/PartnerControls"/>
    <ds:schemaRef ds:uri="ab57c824-c9de-479b-bcdb-0dee5f96ee5c"/>
    <ds:schemaRef ds:uri="f9e1a831-6e51-46c0-a1b0-8aabf0ac81c0"/>
  </ds:schemaRefs>
</ds:datastoreItem>
</file>

<file path=customXml/itemProps2.xml><?xml version="1.0" encoding="utf-8"?>
<ds:datastoreItem xmlns:ds="http://schemas.openxmlformats.org/officeDocument/2006/customXml" ds:itemID="{D16A34F9-D8AA-4CE0-8595-726C1D0110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57c824-c9de-479b-bcdb-0dee5f96ee5c"/>
    <ds:schemaRef ds:uri="484bf416-efd1-4417-8d18-473a2831c1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AF35F52-F90F-4CFF-A779-13C9A61D3B7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Metrics</vt:lpstr>
      <vt:lpstr>Metrics!Print_Area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2013-01-23T20:57:27Z</dcterms:created>
  <dcterms:modified xsi:type="dcterms:W3CDTF">2020-07-14T17:27:20Z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20c67953-7885-4b26-8cc9-3e88393a334d</vt:lpwstr>
  </property>
  <property fmtid="{D5CDD505-2E9C-101B-9397-08002B2CF9AE}" pid="3" name="_dlc_policyId">
    <vt:lpwstr/>
  </property>
  <property fmtid="{D5CDD505-2E9C-101B-9397-08002B2CF9AE}" pid="4" name="ContentTypeId">
    <vt:lpwstr>0x0101005D137D4CCA6A594CBC97E73855997C78</vt:lpwstr>
  </property>
  <property fmtid="{D5CDD505-2E9C-101B-9397-08002B2CF9AE}" pid="5" name="ItemRetentionFormula">
    <vt:lpwstr>&lt;formula id="Microsoft.Office.RecordsManagement.PolicyFeatures.Expiration.Formula.BuiltIn"&gt;&lt;number&gt;3&lt;/number&gt;&lt;property&gt;Modified&lt;/property&gt;&lt;period&gt;months&lt;/period&gt;&lt;/formula&gt;</vt:lpwstr>
  </property>
  <property fmtid="{D5CDD505-2E9C-101B-9397-08002B2CF9AE}" pid="6" name="DocVizPreviewMetadata_Count">
    <vt:i4>0</vt:i4>
  </property>
  <property fmtid="{D5CDD505-2E9C-101B-9397-08002B2CF9AE}" pid="7" name="source_item_id">
    <vt:lpwstr>10</vt:lpwstr>
  </property>
  <property fmtid="{D5CDD505-2E9C-101B-9397-08002B2CF9AE}" pid="8" name="MSIP_Label_f42aa342-8706-4288-bd11-ebb85995028c_Enabled">
    <vt:lpwstr>True</vt:lpwstr>
  </property>
  <property fmtid="{D5CDD505-2E9C-101B-9397-08002B2CF9AE}" pid="9" name="MSIP_Label_f42aa342-8706-4288-bd11-ebb85995028c_SiteId">
    <vt:lpwstr>72f988bf-86f1-41af-91ab-2d7cd011db47</vt:lpwstr>
  </property>
  <property fmtid="{D5CDD505-2E9C-101B-9397-08002B2CF9AE}" pid="10" name="MSIP_Label_f42aa342-8706-4288-bd11-ebb85995028c_Ref">
    <vt:lpwstr>https://api.informationprotection.azure.com/api/72f988bf-86f1-41af-91ab-2d7cd011db47</vt:lpwstr>
  </property>
  <property fmtid="{D5CDD505-2E9C-101B-9397-08002B2CF9AE}" pid="11" name="MSIP_Label_f42aa342-8706-4288-bd11-ebb85995028c_Owner">
    <vt:lpwstr>rajgu@microsoft.com</vt:lpwstr>
  </property>
  <property fmtid="{D5CDD505-2E9C-101B-9397-08002B2CF9AE}" pid="12" name="MSIP_Label_f42aa342-8706-4288-bd11-ebb85995028c_SetDate">
    <vt:lpwstr>2017-07-17T19:23:16.1888410-07:00</vt:lpwstr>
  </property>
  <property fmtid="{D5CDD505-2E9C-101B-9397-08002B2CF9AE}" pid="13" name="MSIP_Label_f42aa342-8706-4288-bd11-ebb85995028c_Name">
    <vt:lpwstr>General</vt:lpwstr>
  </property>
  <property fmtid="{D5CDD505-2E9C-101B-9397-08002B2CF9AE}" pid="14" name="MSIP_Label_f42aa342-8706-4288-bd11-ebb85995028c_Application">
    <vt:lpwstr>Microsoft Azure Information Protection</vt:lpwstr>
  </property>
  <property fmtid="{D5CDD505-2E9C-101B-9397-08002B2CF9AE}" pid="15" name="MSIP_Label_f42aa342-8706-4288-bd11-ebb85995028c_Extended_MSFT_Method">
    <vt:lpwstr>Automatic</vt:lpwstr>
  </property>
  <property fmtid="{D5CDD505-2E9C-101B-9397-08002B2CF9AE}" pid="16" name="Sensitivity">
    <vt:lpwstr>General</vt:lpwstr>
  </property>
</Properties>
</file>